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d04a622c8324c25" /></Relationships>
</file>

<file path=xl/workbook.xml><?xml version="1.0" encoding="utf-8"?>
<x:workbook xmlns:x="http://schemas.openxmlformats.org/spreadsheetml/2006/main">
  <x:sheets>
    <x:sheet xmlns:r="http://schemas.openxmlformats.org/officeDocument/2006/relationships" name="Bill of Materials" sheetId="1" r:id="R975ac4da5a1640cc"/>
    <x:sheet xmlns:r="http://schemas.openxmlformats.org/officeDocument/2006/relationships" name="WRO Compliance" sheetId="2" r:id="R52148dfa60ab4b70"/>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0"/>
    <x:numFmt numFmtId="202" formatCode="#,##0.00"/>
  </x:numFmts>
  <x:fonts count="5">
    <x:font>
      <x:sz val="11"/>
      <x:name val="Carlito"/>
    </x:font>
    <x:font>
      <x:b/>
      <x:sz val="16"/>
      <x:color rgb="FFFFFFFF"/>
      <x:name val="Carlito"/>
    </x:font>
    <x:font>
      <x:b/>
      <x:sz val="11"/>
      <x:color rgb="FFFFFFFF"/>
      <x:name val="Carlito"/>
    </x:font>
    <x:font>
      <x:b/>
      <x:sz val="11"/>
      <x:name val="Carlito"/>
    </x:font>
    <x:font>
      <x:i/>
      <x:sz val="11"/>
      <x:color rgb="FF404040"/>
      <x:name val="Carlito"/>
    </x:font>
  </x:fonts>
  <x:fills count="6">
    <x:fill>
      <x:patternFill patternType="none"/>
    </x:fill>
    <x:fill>
      <x:patternFill patternType="gray125"/>
    </x:fill>
    <x:fill>
      <x:patternFill patternType="solid">
        <x:fgColor rgb="FF1F4E78"/>
      </x:patternFill>
    </x:fill>
    <x:fill>
      <x:patternFill patternType="solid">
        <x:fgColor rgb="FF5B9BD5"/>
      </x:patternFill>
    </x:fill>
    <x:fill>
      <x:patternFill patternType="solid">
        <x:fgColor rgb="FFD9EAF7"/>
      </x:patternFill>
    </x:fill>
    <x:fill>
      <x:patternFill patternType="solid">
        <x:fgColor rgb="FFF2F2F2"/>
      </x:patternFill>
    </x:fill>
  </x:fills>
  <x:borders count="2">
    <x:border/>
    <x:border/>
  </x:borders>
  <x:cellStyleXfs count="1">
    <x:xf numFmtId="0" fontId="0" fillId="0" borderId="0"/>
  </x:cellStyleXfs>
  <x:cellXfs count="4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201" fontId="0" fillId="0" borderId="0" xfId="0" applyNumberFormat="1" applyFont="1" applyFill="1" applyBorder="1" applyAlignment="1">
      <x:alignment vertical="top" wrapText="1"/>
    </x:xf>
    <x:xf numFmtId="201" fontId="0" fillId="0" borderId="1" xfId="0" applyNumberFormat="1" applyFont="1" applyFill="1" applyBorder="1" applyAlignment="1">
      <x:alignment vertical="top" wrapText="1"/>
    </x:xf>
    <x:xf numFmtId="202" fontId="0" fillId="0" borderId="0" xfId="0" applyNumberFormat="1" applyFont="1" applyFill="1" applyBorder="1" applyAlignment="1">
      <x:alignment vertical="top" wrapText="1"/>
    </x:xf>
    <x:xf numFmtId="202" fontId="0" fillId="0" borderId="1"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vertic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vertical="center"/>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center" wrapText="1"/>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4" fillId="5" borderId="1" xfId="0" applyNumberFormat="1" applyFont="1" applyFill="1" applyBorder="1" applyAlignment="1">
      <x:alignment vertical="center" wrapText="1"/>
    </x:xf>
  </x:cellXfs>
  <x:cellStyles count="1">
    <x:cellStyle name="Normal" xfId="0"/>
  </x:cellStyles>
  <x:dxfs count="4">
    <x:dxf>
      <x:font>
        <x:color rgb="FF7F6000"/>
      </x:font>
      <x:fill>
        <x:patternFill patternType="solid">
          <x:bgColor rgb="FFFFF2CC"/>
        </x:patternFill>
      </x:fill>
    </x:dxf>
    <x:dxf>
      <x:font>
        <x:color rgb="FF375623"/>
      </x:font>
      <x:fill>
        <x:patternFill patternType="solid">
          <x:bgColor rgb="FFE2F0D9"/>
        </x:patternFill>
      </x:fill>
    </x:dxf>
    <x:dxf>
      <x:font>
        <x:color rgb="FF375623"/>
      </x:font>
      <x:fill>
        <x:patternFill patternType="solid">
          <x:bgColor rgb="FFE2F0D9"/>
        </x:patternFill>
      </x:fill>
    </x:dxf>
    <x:dxf>
      <x:font>
        <x:color rgb="FF7F60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93a09f96c434d8e" /><Relationship Type="http://schemas.openxmlformats.org/officeDocument/2006/relationships/theme" Target="/xl/theme/theme1.xml" Id="R9b382698e0e0490d" /><Relationship Type="http://schemas.openxmlformats.org/officeDocument/2006/relationships/sharedStrings" Target="/xl/sharedStrings.xml" Id="Ra2a440029f294402" /><Relationship Type="http://schemas.openxmlformats.org/officeDocument/2006/relationships/worksheet" Target="/xl/worksheets/sheet1.xml" Id="R975ac4da5a1640cc" /><Relationship Type="http://schemas.openxmlformats.org/officeDocument/2006/relationships/worksheet" Target="/xl/worksheets/sheet2.xml" Id="R52148dfa60ab4b70" /></Relationships>
</file>

<file path=xl/tables/table1.xml><?xml version="1.0" encoding="utf-8"?>
<x:table xmlns:x="http://schemas.openxmlformats.org/spreadsheetml/2006/main" id="1" name="MOM_BOM" displayName="MOM_BOM" ref="A3:P26" headerRowCount="1" totalsRowCount="0" totalsRowShown="0">
  <x:tableColumns count="16">
    <x:tableColumn id="1" name="Category"/>
    <x:tableColumn id="2" name="Item"/>
    <x:tableColumn id="3" name="Manufacturer / Model"/>
    <x:tableColumn id="4" name="Qty"/>
    <x:tableColumn id="5" name="Key Specification"/>
    <x:tableColumn id="6" name="Operating Voltage"/>
    <x:tableColumn id="7" name="Purpose / Function"/>
    <x:tableColumn id="8" name="Status"/>
    <x:tableColumn id="9" name="Unit Mass (g)"/>
    <x:tableColumn id="10" name="Total Mass (g)"/>
    <x:tableColumn id="11" name="Unit Cost"/>
    <x:tableColumn id="12" name="Total Cost"/>
    <x:tableColumn id="13" name="Source / Datasheet"/>
    <x:tableColumn id="14" name="Supplier / Purchase Link"/>
    <x:tableColumn id="15" name="WRO 2026 Relevance"/>
    <x:tableColumn id="16" name="Notes / Team Decision"/>
  </x:tableColumns>
  <x:tableStyleInfo name="TableStyleMedium2" showFirstColumn="0" showLastColumn="0" showRowStripes="1" showColumnStripes="0"/>
</x:table>
</file>

<file path=xl/tables/table2.xml><?xml version="1.0" encoding="utf-8"?>
<x:table xmlns:x="http://schemas.openxmlformats.org/spreadsheetml/2006/main" id="2" name="WRO_Compliance" displayName="WRO_Compliance" ref="A3:G17" headerRowCount="1" totalsRowCount="0" totalsRowShown="0">
  <x:tableColumns count="7">
    <x:tableColumn id="1" name="Rule Area"/>
    <x:tableColumn id="2" name="WRO 2026 Requirement"/>
    <x:tableColumn id="3" name="MOM Current Design"/>
    <x:tableColumn id="4" name="Status"/>
    <x:tableColumn id="5" name="Evidence / File"/>
    <x:tableColumn id="6" name="Rule Reference"/>
    <x:tableColumn id="7" name="Action Before Fina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94c31146cb540bd" /></Relationships>
</file>

<file path=xl/worksheets/_rels/sheet2.xml.rels>&#65279;<?xml version="1.0" encoding="utf-8"?><Relationships xmlns="http://schemas.openxmlformats.org/package/2006/relationships"><Relationship Type="http://schemas.openxmlformats.org/officeDocument/2006/relationships/table" Target="/xl/tables/table2.xml" Id="R8587db221ae348a6" /></Relationships>
</file>

<file path=xl/worksheets/sheet1.xml><?xml version="1.0" encoding="utf-8"?>
<x:worksheet xmlns:x="http://schemas.openxmlformats.org/spreadsheetml/2006/main">
  <x:sheetFormatPr defaultRowHeight="15"/>
  <x:cols>
    <x:col min="1" max="1" width="15" hidden="0" customWidth="1"/>
    <x:col min="2" max="2" width="24" hidden="0" customWidth="1"/>
    <x:col min="3" max="3" width="28" hidden="0" customWidth="1"/>
    <x:col min="4" max="4" width="7" hidden="0" customWidth="1"/>
    <x:col min="5" max="5" width="32" hidden="0" customWidth="1"/>
    <x:col min="6" max="6" width="18" hidden="0" customWidth="1"/>
    <x:col min="7" max="7" width="38" hidden="0" customWidth="1"/>
    <x:col min="8" max="8" width="20" hidden="0" customWidth="1"/>
    <x:col min="9" max="9" width="14" hidden="0" customWidth="1"/>
    <x:col min="10" max="10" width="14" hidden="0" customWidth="1"/>
    <x:col min="11" max="11" width="14" hidden="0" customWidth="1"/>
    <x:col min="12" max="12" width="14" hidden="0" customWidth="1"/>
    <x:col min="13" max="13" width="42" hidden="0" customWidth="1"/>
    <x:col min="14" max="14" width="35" hidden="0" customWidth="1"/>
    <x:col min="15" max="15" width="44" hidden="0" customWidth="1"/>
    <x:col min="16" max="16" width="48" hidden="0" customWidth="1"/>
  </x:cols>
  <x:sheetData>
    <x:row r="1">
      <x:c r="A1" s="5" t="str">
        <x:v>The Monarch of Motion (MOM) — WRO 2026 Bill of Materials</x:v>
      </x:c>
      <x:c r="B1" s="5"/>
      <x:c r="C1" s="5"/>
      <x:c r="D1" s="5"/>
      <x:c r="E1" s="5"/>
      <x:c r="F1" s="5"/>
      <x:c r="G1" s="5"/>
      <x:c r="H1" s="5"/>
      <x:c r="I1" s="5"/>
      <x:c r="J1" s="5"/>
      <x:c r="K1" s="5"/>
      <x:c r="L1" s="5"/>
      <x:c r="M1" s="5"/>
      <x:c r="N1" s="5"/>
      <x:c r="O1" s="5"/>
      <x:c r="P1" s="5"/>
    </x:row>
    <x:row r="3">
      <x:c r="A3" s="14" t="str">
        <x:v>Category</x:v>
      </x:c>
      <x:c r="B3" s="14" t="str">
        <x:v>Item</x:v>
      </x:c>
      <x:c r="C3" s="14" t="str">
        <x:v>Manufacturer / Model</x:v>
      </x:c>
      <x:c r="D3" s="14" t="str">
        <x:v>Qty</x:v>
      </x:c>
      <x:c r="E3" s="14" t="str">
        <x:v>Key Specification</x:v>
      </x:c>
      <x:c r="F3" s="14" t="str">
        <x:v>Operating Voltage</x:v>
      </x:c>
      <x:c r="G3" s="14" t="str">
        <x:v>Purpose / Function</x:v>
      </x:c>
      <x:c r="H3" s="14" t="str">
        <x:v>Status</x:v>
      </x:c>
      <x:c r="I3" s="14" t="str">
        <x:v>Unit Mass (g)</x:v>
      </x:c>
      <x:c r="J3" s="14" t="str">
        <x:v>Total Mass (g)</x:v>
      </x:c>
      <x:c r="K3" s="14" t="str">
        <x:v>Unit Cost</x:v>
      </x:c>
      <x:c r="L3" s="14" t="str">
        <x:v>Total Cost</x:v>
      </x:c>
      <x:c r="M3" s="14" t="str">
        <x:v>Source / Datasheet</x:v>
      </x:c>
      <x:c r="N3" s="14" t="str">
        <x:v>Supplier / Purchase Link</x:v>
      </x:c>
      <x:c r="O3" s="14" t="str">
        <x:v>WRO 2026 Relevance</x:v>
      </x:c>
      <x:c r="P3" s="14" t="str">
        <x:v>Notes / Team Decision</x:v>
      </x:c>
    </x:row>
    <x:row r="4">
      <x:c r="A4" s="22" t="str">
        <x:v>Computing</x:v>
      </x:c>
      <x:c r="B4" s="22" t="str">
        <x:v>Single-board computer</x:v>
      </x:c>
      <x:c r="C4" s="22" t="str">
        <x:v>Orange Pi 5</x:v>
      </x:c>
      <x:c r="D4" s="24" t="n">
        <x:v>1</x:v>
      </x:c>
      <x:c r="E4" s="22" t="str">
        <x:v>Main high-level computer; ARM SBC</x:v>
      </x:c>
      <x:c r="F4" s="22" t="str">
        <x:v>5 V</x:v>
      </x:c>
      <x:c r="G4" s="22" t="str">
        <x:v>Navigation, sensor processing, decision-making, parking strategy, and coordination</x:v>
      </x:c>
      <x:c r="H4" s="22" t="str">
        <x:v>Confirmed</x:v>
      </x:c>
      <x:c r="I4" s="26"/>
      <x:c r="J4" s="26" t="str">
        <x:f>IF(OR(D4="",I4=""),"",D4*I4)</x:f>
      </x:c>
      <x:c r="K4" s="28"/>
      <x:c r="L4" s="28" t="str">
        <x:f>IF(OR(D4="",K4=""),"",D4*K4)</x:f>
      </x:c>
      <x:c r="M4" s="22" t="str">
        <x:v>https://www.orangepi.org/html/hardWare/computerAndMicrocontrollers/details/Orange-Pi-5.html</x:v>
      </x:c>
      <x:c r="N4" s="22" t="str"/>
      <x:c r="O4" s="22" t="str">
        <x:v>Multiple SBC/SBM controllers are permitted; wireless must be disabled during rounds</x:v>
      </x:c>
      <x:c r="P4" s="22" t="str">
        <x:v>Main brain of MOM. Final RAM/storage configuration to be recorded.</x:v>
      </x:c>
    </x:row>
    <x:row r="5">
      <x:c r="A5" s="22" t="str">
        <x:v>Control</x:v>
      </x:c>
      <x:c r="B5" s="22" t="str">
        <x:v>Microcontroller</x:v>
      </x:c>
      <x:c r="C5" s="22" t="str">
        <x:v>ESP32 development board — exact model TBC</x:v>
      </x:c>
      <x:c r="D5" s="24" t="n">
        <x:v>1</x:v>
      </x:c>
      <x:c r="E5" s="22" t="str">
        <x:v>Low-level real-time controller</x:v>
      </x:c>
      <x:c r="F5" s="22" t="str">
        <x:v>3.3 V logic; board input TBC</x:v>
      </x:c>
      <x:c r="G5" s="22" t="str">
        <x:v>Drive motor control, steering control, hardware interfacing, and Orange Pi communication</x:v>
      </x:c>
      <x:c r="H5" s="22" t="str">
        <x:v>Confirmed / model TBC</x:v>
      </x:c>
      <x:c r="I5" s="26"/>
      <x:c r="J5" s="26" t="str">
        <x:f>IF(OR(D5="",I5=""),"",D5*I5)</x:f>
      </x:c>
      <x:c r="K5" s="28"/>
      <x:c r="L5" s="28" t="str">
        <x:f>IF(OR(D5="",K5=""),"",D5*K5)</x:f>
      </x:c>
      <x:c r="M5" s="22" t="str">
        <x:v>https://www.espressif.com/sites/default/files/documentation/esp32_datasheet_en.pdf</x:v>
      </x:c>
      <x:c r="N5" s="22" t="str"/>
      <x:c r="O5" s="22" t="str">
        <x:v>Multiple controllers permitted; only wired communication between vehicle components during rounds</x:v>
      </x:c>
      <x:c r="P5" s="22" t="str">
        <x:v>Record exact ESP32 board model before final submission.</x:v>
      </x:c>
    </x:row>
    <x:row r="6">
      <x:c r="A6" s="22" t="str">
        <x:v>Sensor</x:v>
      </x:c>
      <x:c r="B6" s="22" t="str">
        <x:v>Vision camera</x:v>
      </x:c>
      <x:c r="C6" s="22" t="str">
        <x:v>PixyCam2</x:v>
      </x:c>
      <x:c r="D6" s="24" t="n">
        <x:v>1</x:v>
      </x:c>
      <x:c r="E6" s="22" t="str">
        <x:v>Colour/object recognition camera</x:v>
      </x:c>
      <x:c r="F6" s="22" t="str">
        <x:v>5 V</x:v>
      </x:c>
      <x:c r="G6" s="22" t="str">
        <x:v>Detect coloured pillars and visual navigation features</x:v>
      </x:c>
      <x:c r="H6" s="22" t="str">
        <x:v>Confirmed</x:v>
      </x:c>
      <x:c r="I6" s="26"/>
      <x:c r="J6" s="26" t="str">
        <x:f>IF(OR(D6="",I6=""),"",D6*I6)</x:f>
      </x:c>
      <x:c r="K6" s="28"/>
      <x:c r="L6" s="28" t="str">
        <x:f>IF(OR(D6="",K6=""),"",D6*K6)</x:f>
      </x:c>
      <x:c r="M6" s="22" t="str">
        <x:v>https://docs.pixycam.com/wiki/doku.php?id=wiki:v2:overview</x:v>
      </x:c>
      <x:c r="N6" s="22" t="str"/>
      <x:c r="O6" s="22" t="str">
        <x:v>Cameras are permitted sensors</x:v>
      </x:c>
      <x:c r="P6" s="22" t="str">
        <x:v>Front-facing mounting; final angle and colour signatures determined by testing.</x:v>
      </x:c>
    </x:row>
    <x:row r="7">
      <x:c r="A7" s="22" t="str">
        <x:v>Sensor</x:v>
      </x:c>
      <x:c r="B7" s="22" t="str">
        <x:v>2D LiDAR</x:v>
      </x:c>
      <x:c r="C7" s="22" t="str">
        <x:v>SLAMTEC RPLIDAR C1</x:v>
      </x:c>
      <x:c r="D7" s="24" t="n">
        <x:v>1</x:v>
      </x:c>
      <x:c r="E7" s="22" t="str">
        <x:v>360° 2D laser-ranging scanner</x:v>
      </x:c>
      <x:c r="F7" s="22" t="str">
        <x:v>5 V</x:v>
      </x:c>
      <x:c r="G7" s="22" t="str">
        <x:v>Wall distance, track geometry, obstacle clearance, and positioning</x:v>
      </x:c>
      <x:c r="H7" s="22" t="str">
        <x:v>Confirmed</x:v>
      </x:c>
      <x:c r="I7" s="26"/>
      <x:c r="J7" s="26" t="str">
        <x:f>IF(OR(D7="",I7=""),"",D7*I7)</x:f>
      </x:c>
      <x:c r="K7" s="28"/>
      <x:c r="L7" s="28" t="str">
        <x:f>IF(OR(D7="",K7=""),"",D7*K7)</x:f>
      </x:c>
      <x:c r="M7" s="22" t="str">
        <x:v>https://www.slamtec.com/en/C1</x:v>
      </x:c>
      <x:c r="N7" s="22" t="str"/>
      <x:c r="O7" s="22" t="str">
        <x:v>Sensors have no brand/function/quantity restriction</x:v>
      </x:c>
      <x:c r="P7" s="22" t="str">
        <x:v>Mount with an unobstructed scan plane; startup current must be considered in power design.</x:v>
      </x:c>
    </x:row>
    <x:row r="8">
      <x:c r="A8" s="22" t="str">
        <x:v>Sensor</x:v>
      </x:c>
      <x:c r="B8" s="22" t="str">
        <x:v>IMU / Gyroscope</x:v>
      </x:c>
      <x:c r="C8" s="22" t="str">
        <x:v>MPU6050 / module — exact board TBC</x:v>
      </x:c>
      <x:c r="D8" s="24" t="n">
        <x:v>1</x:v>
      </x:c>
      <x:c r="E8" s="22" t="str">
        <x:v>3-axis gyroscope + 3-axis accelerometer</x:v>
      </x:c>
      <x:c r="F8" s="22" t="str">
        <x:v>TBC</x:v>
      </x:c>
      <x:c r="G8" s="22" t="str">
        <x:v>Optional heading/rotation and acceleration information</x:v>
      </x:c>
      <x:c r="H8" s="22" t="str">
        <x:v>Optional / TBC</x:v>
      </x:c>
      <x:c r="I8" s="26"/>
      <x:c r="J8" s="26" t="str">
        <x:f>IF(OR(D8="",I8=""),"",D8*I8)</x:f>
      </x:c>
      <x:c r="K8" s="28"/>
      <x:c r="L8" s="28" t="str">
        <x:f>IF(OR(D8="",K8=""),"",D8*K8)</x:f>
      </x:c>
      <x:c r="M8" s="22" t="str">
        <x:v>https://invensense.tdk.com/wp-content/uploads/2015/02/MPU-6000-Datasheet1.pdf</x:v>
      </x:c>
      <x:c r="N8" s="22" t="str"/>
      <x:c r="O8" s="22" t="str">
        <x:v>Sensors have no brand/function/quantity restriction</x:v>
      </x:c>
      <x:c r="P8" s="22" t="str">
        <x:v>Keep only if testing shows a measurable navigation benefit.</x:v>
      </x:c>
    </x:row>
    <x:row r="9">
      <x:c r="A9" s="22" t="str">
        <x:v>Drive</x:v>
      </x:c>
      <x:c r="B9" s="22" t="str">
        <x:v>DC geared drive motor</x:v>
      </x:c>
      <x:c r="C9" s="22" t="str">
        <x:v>JGA25-370 — exact voltage/gear ratio TBC</x:v>
      </x:c>
      <x:c r="D9" s="24" t="n">
        <x:v>1</x:v>
      </x:c>
      <x:c r="E9" s="22" t="str">
        <x:v>Geared DC motor; rear-wheel drive</x:v>
      </x:c>
      <x:c r="F9" s="22" t="str">
        <x:v>6 V or 12 V version — TBC</x:v>
      </x:c>
      <x:c r="G9" s="22" t="str">
        <x:v>Propels vehicle through rear driving axle</x:v>
      </x:c>
      <x:c r="H9" s="22" t="str">
        <x:v>Confirmed / spec TBC</x:v>
      </x:c>
      <x:c r="I9" s="26"/>
      <x:c r="J9" s="26" t="str">
        <x:f>IF(OR(D9="",I9=""),"",D9*I9)</x:f>
      </x:c>
      <x:c r="K9" s="28"/>
      <x:c r="L9" s="28" t="str">
        <x:f>IF(OR(D9="",K9=""),"",D9*K9)</x:f>
      </x:c>
      <x:c r="M9" s="22" t="str">
        <x:v>https://media.digikey.com/pdf/Data%20Sheets/Seeed%20Technology/114090046_Web.pdf</x:v>
      </x:c>
      <x:c r="N9" s="22" t="str"/>
      <x:c r="O9" s="22" t="str">
        <x:v>MOM uses 1 driving motor; WRO 2026 permits up to 2 driving motors on one driving axle</x:v>
      </x:c>
      <x:c r="P9" s="22" t="str">
        <x:v>Record label, gearbox ratio, rated speed, and rated voltage from actual motor.</x:v>
      </x:c>
    </x:row>
    <x:row r="10">
      <x:c r="A10" s="22" t="str">
        <x:v>Steering</x:v>
      </x:c>
      <x:c r="B10" s="22" t="str">
        <x:v>Steering servo</x:v>
      </x:c>
      <x:c r="C10" s="22" t="str">
        <x:v>MG996 / MG996R — exact unit TBC</x:v>
      </x:c>
      <x:c r="D10" s="24" t="n">
        <x:v>1</x:v>
      </x:c>
      <x:c r="E10" s="22" t="str">
        <x:v>High-torque servo for Ackermann steering</x:v>
      </x:c>
      <x:c r="F10" s="22" t="str">
        <x:v>4.8–6.6 V if genuine MG996R</x:v>
      </x:c>
      <x:c r="G10" s="22" t="str">
        <x:v>Controls front Ackermann steering mechanism</x:v>
      </x:c>
      <x:c r="H10" s="22" t="str">
        <x:v>Confirmed / exact model TBC</x:v>
      </x:c>
      <x:c r="I10" s="26"/>
      <x:c r="J10" s="26" t="str">
        <x:f>IF(OR(D10="",I10=""),"",D10*I10)</x:f>
      </x:c>
      <x:c r="K10" s="28"/>
      <x:c r="L10" s="28" t="str">
        <x:f>IF(OR(D10="",K10=""),"",D10*K10)</x:f>
      </x:c>
      <x:c r="M10" s="22" t="str">
        <x:v>https://towerpro.com.tw/product/mg996r/</x:v>
      </x:c>
      <x:c r="N10" s="22" t="str"/>
      <x:c r="O10" s="22" t="str">
        <x:v>WRO vehicle must use one steering actuator; MOM uses one servo</x:v>
      </x:c>
      <x:c r="P10" s="22" t="str">
        <x:v>Verify whether installed unit is MG996 or genuine MG996R before using datasheet values.</x:v>
      </x:c>
    </x:row>
    <x:row r="11">
      <x:c r="A11" s="22" t="str">
        <x:v>Electronics</x:v>
      </x:c>
      <x:c r="B11" s="22" t="str">
        <x:v>Drive motor driver</x:v>
      </x:c>
      <x:c r="C11" s="22" t="str">
        <x:v>TBC</x:v>
      </x:c>
      <x:c r="D11" s="24" t="n">
        <x:v>1</x:v>
      </x:c>
      <x:c r="E11" s="22" t="str">
        <x:v>Must match JGA25-370 voltage and stall-current requirement</x:v>
      </x:c>
      <x:c r="F11" s="22" t="str">
        <x:v>TBC</x:v>
      </x:c>
      <x:c r="G11" s="22" t="str">
        <x:v>Controls direction and PWM/speed of drive motor from ESP32</x:v>
      </x:c>
      <x:c r="H11" s="22" t="str">
        <x:v>TBC</x:v>
      </x:c>
      <x:c r="I11" s="26"/>
      <x:c r="J11" s="26" t="str">
        <x:f>IF(OR(D11="",I11=""),"",D11*I11)</x:f>
      </x:c>
      <x:c r="K11" s="28"/>
      <x:c r="L11" s="28" t="str">
        <x:f>IF(OR(D11="",K11=""),"",D11*K11)</x:f>
      </x:c>
      <x:c r="M11" s="22" t="str"/>
      <x:c r="N11" s="22" t="str"/>
      <x:c r="O11" s="22" t="str">
        <x:v>Electronic components are unrestricted</x:v>
      </x:c>
      <x:c r="P11" s="22" t="str">
        <x:v>Select with adequate current margin above motor stall current.</x:v>
      </x:c>
    </x:row>
    <x:row r="12">
      <x:c r="A12" s="22" t="str">
        <x:v>Power</x:v>
      </x:c>
      <x:c r="B12" s="22" t="str">
        <x:v>Computing-system battery</x:v>
      </x:c>
      <x:c r="C12" s="22" t="str">
        <x:v>TBC</x:v>
      </x:c>
      <x:c r="D12" s="24" t="n">
        <x:v>1</x:v>
      </x:c>
      <x:c r="E12" s="22" t="str">
        <x:v>Battery A for Orange Pi 5 and computing/sensor power domain</x:v>
      </x:c>
      <x:c r="F12" s="22" t="str">
        <x:v>TBC</x:v>
      </x:c>
      <x:c r="G12" s="22" t="str">
        <x:v>Supplies stable power to computing electronics through regulation</x:v>
      </x:c>
      <x:c r="H12" s="22" t="str">
        <x:v>TBC</x:v>
      </x:c>
      <x:c r="I12" s="26"/>
      <x:c r="J12" s="26" t="str">
        <x:f>IF(OR(D12="",I12=""),"",D12*I12)</x:f>
      </x:c>
      <x:c r="K12" s="28"/>
      <x:c r="L12" s="28" t="str">
        <x:f>IF(OR(D12="",K12=""),"",D12*K12)</x:f>
      </x:c>
      <x:c r="M12" s="22" t="str"/>
      <x:c r="N12" s="22" t="str"/>
      <x:c r="O12" s="22" t="str">
        <x:v>Any battery brand/function/number is permitted</x:v>
      </x:c>
      <x:c r="P12" s="22" t="str">
        <x:v>Record chemistry, voltage, capacity (mAh/Wh), mass, and connector type.</x:v>
      </x:c>
    </x:row>
    <x:row r="13">
      <x:c r="A13" s="22" t="str">
        <x:v>Power</x:v>
      </x:c>
      <x:c r="B13" s="22" t="str">
        <x:v>Motor/servo-system battery</x:v>
      </x:c>
      <x:c r="C13" s="22" t="str">
        <x:v>TBC</x:v>
      </x:c>
      <x:c r="D13" s="24" t="n">
        <x:v>1</x:v>
      </x:c>
      <x:c r="E13" s="22" t="str">
        <x:v>Battery B for actuator power domain</x:v>
      </x:c>
      <x:c r="F13" s="22" t="str">
        <x:v>TBC</x:v>
      </x:c>
      <x:c r="G13" s="22" t="str">
        <x:v>Supplies drive motor and steering servo through suitable regulation/driver</x:v>
      </x:c>
      <x:c r="H13" s="22" t="str">
        <x:v>TBC</x:v>
      </x:c>
      <x:c r="I13" s="26"/>
      <x:c r="J13" s="26" t="str">
        <x:f>IF(OR(D13="",I13=""),"",D13*I13)</x:f>
      </x:c>
      <x:c r="K13" s="28"/>
      <x:c r="L13" s="28" t="str">
        <x:f>IF(OR(D13="",K13=""),"",D13*K13)</x:f>
      </x:c>
      <x:c r="M13" s="22" t="str"/>
      <x:c r="N13" s="22" t="str"/>
      <x:c r="O13" s="22" t="str">
        <x:v>Any battery brand/function/number is permitted</x:v>
      </x:c>
      <x:c r="P13" s="22" t="str">
        <x:v>Dual-battery architecture is intended to reduce computing brownouts.</x:v>
      </x:c>
    </x:row>
    <x:row r="14">
      <x:c r="A14" s="22" t="str">
        <x:v>Power</x:v>
      </x:c>
      <x:c r="B14" s="22" t="str">
        <x:v>5 V regulator / DC-DC converter</x:v>
      </x:c>
      <x:c r="C14" s="22" t="str">
        <x:v>TBC</x:v>
      </x:c>
      <x:c r="D14" s="24" t="n">
        <x:v>1</x:v>
      </x:c>
      <x:c r="E14" s="22" t="str">
        <x:v>Regulated 5 V supply with sufficient current margin</x:v>
      </x:c>
      <x:c r="F14" s="22" t="str">
        <x:v>Input TBC → 5 V</x:v>
      </x:c>
      <x:c r="G14" s="22" t="str">
        <x:v>Powers Orange Pi 5 and/or 5 V sensors</x:v>
      </x:c>
      <x:c r="H14" s="22" t="str">
        <x:v>TBC</x:v>
      </x:c>
      <x:c r="I14" s="26"/>
      <x:c r="J14" s="26" t="str">
        <x:f>IF(OR(D14="",I14=""),"",D14*I14)</x:f>
      </x:c>
      <x:c r="K14" s="28"/>
      <x:c r="L14" s="28" t="str">
        <x:f>IF(OR(D14="",K14=""),"",D14*K14)</x:f>
      </x:c>
      <x:c r="M14" s="22" t="str"/>
      <x:c r="N14" s="22" t="str"/>
      <x:c r="O14" s="22" t="str">
        <x:v>Electronic components are unrestricted</x:v>
      </x:c>
      <x:c r="P14" s="22" t="str">
        <x:v>Size for Orange Pi load plus sensor startup/peak current.</x:v>
      </x:c>
    </x:row>
    <x:row r="15">
      <x:c r="A15" s="22" t="str">
        <x:v>Power</x:v>
      </x:c>
      <x:c r="B15" s="22" t="str">
        <x:v>Servo / actuator regulator</x:v>
      </x:c>
      <x:c r="C15" s="22" t="str">
        <x:v>TBC</x:v>
      </x:c>
      <x:c r="D15" s="24" t="n">
        <x:v>1</x:v>
      </x:c>
      <x:c r="E15" s="22" t="str">
        <x:v>Regulated actuator supply appropriate for servo</x:v>
      </x:c>
      <x:c r="F15" s="22" t="str">
        <x:v>TBC</x:v>
      </x:c>
      <x:c r="G15" s="22" t="str">
        <x:v>Provides stable voltage/current to MG996-series servo</x:v>
      </x:c>
      <x:c r="H15" s="22" t="str">
        <x:v>TBC</x:v>
      </x:c>
      <x:c r="I15" s="26"/>
      <x:c r="J15" s="26" t="str">
        <x:f>IF(OR(D15="",I15=""),"",D15*I15)</x:f>
      </x:c>
      <x:c r="K15" s="28"/>
      <x:c r="L15" s="28" t="str">
        <x:f>IF(OR(D15="",K15=""),"",D15*K15)</x:f>
      </x:c>
      <x:c r="M15" s="22" t="str"/>
      <x:c r="N15" s="22" t="str"/>
      <x:c r="O15" s="22" t="str">
        <x:v>Electronic components are unrestricted</x:v>
      </x:c>
      <x:c r="P15" s="22" t="str">
        <x:v>Must tolerate steering current peaks without voltage collapse.</x:v>
      </x:c>
    </x:row>
    <x:row r="16">
      <x:c r="A16" s="22" t="str">
        <x:v>Power</x:v>
      </x:c>
      <x:c r="B16" s="22" t="str">
        <x:v>Main power switches</x:v>
      </x:c>
      <x:c r="C16" s="22" t="str">
        <x:v>TBC</x:v>
      </x:c>
      <x:c r="D16" s="24" t="n">
        <x:v>2</x:v>
      </x:c>
      <x:c r="E16" s="22" t="str">
        <x:v>Rated for relevant battery voltage/current</x:v>
      </x:c>
      <x:c r="F16" s="22" t="str">
        <x:v>TBC</x:v>
      </x:c>
      <x:c r="G16" s="22" t="str">
        <x:v>Independent safe switching of computing and actuator power domains</x:v>
      </x:c>
      <x:c r="H16" s="22" t="str">
        <x:v>TBC</x:v>
      </x:c>
      <x:c r="I16" s="26"/>
      <x:c r="J16" s="26" t="str">
        <x:f>IF(OR(D16="",I16=""),"",D16*I16)</x:f>
      </x:c>
      <x:c r="K16" s="28"/>
      <x:c r="L16" s="28" t="str">
        <x:f>IF(OR(D16="",K16=""),"",D16*K16)</x:f>
      </x:c>
      <x:c r="M16" s="22" t="str"/>
      <x:c r="N16" s="22" t="str"/>
      <x:c r="O16" s="22" t="str">
        <x:v>Switches/electronic components are permitted</x:v>
      </x:c>
      <x:c r="P16" s="22" t="str">
        <x:v>Recommended: clearly label COMPUTE and ACTUATOR power.</x:v>
      </x:c>
    </x:row>
    <x:row r="17">
      <x:c r="A17" s="22" t="str">
        <x:v>Safety</x:v>
      </x:c>
      <x:c r="B17" s="22" t="str">
        <x:v>Fuse / over-current protection</x:v>
      </x:c>
      <x:c r="C17" s="22" t="str">
        <x:v>TBC</x:v>
      </x:c>
      <x:c r="D17" s="24" t="n">
        <x:v>2</x:v>
      </x:c>
      <x:c r="E17" s="22" t="str">
        <x:v>Rating to be selected from final current measurements</x:v>
      </x:c>
      <x:c r="F17" s="22" t="str">
        <x:v>TBC</x:v>
      </x:c>
      <x:c r="G17" s="22" t="str">
        <x:v>Protects wiring and electronics from excessive current</x:v>
      </x:c>
      <x:c r="H17" s="22" t="str">
        <x:v>TBC</x:v>
      </x:c>
      <x:c r="I17" s="26"/>
      <x:c r="J17" s="26" t="str">
        <x:f>IF(OR(D17="",I17=""),"",D17*I17)</x:f>
      </x:c>
      <x:c r="K17" s="28"/>
      <x:c r="L17" s="28" t="str">
        <x:f>IF(OR(D17="",K17=""),"",D17*K17)</x:f>
      </x:c>
      <x:c r="M17" s="22" t="str"/>
      <x:c r="N17" s="22" t="str"/>
      <x:c r="O17" s="22" t="str">
        <x:v>Supports safe and reproducible power architecture</x:v>
      </x:c>
      <x:c r="P17" s="22" t="str">
        <x:v>Fuse ratings must be based on actual conductor and load requirements.</x:v>
      </x:c>
    </x:row>
    <x:row r="18">
      <x:c r="A18" s="22" t="str">
        <x:v>Mechanical</x:v>
      </x:c>
      <x:c r="B18" s="22" t="str">
        <x:v>Chassis / frame</x:v>
      </x:c>
      <x:c r="C18" s="22" t="str">
        <x:v>Team-designed</x:v>
      </x:c>
      <x:c r="D18" s="24" t="n">
        <x:v>1</x:v>
      </x:c>
      <x:c r="E18" s="22" t="str">
        <x:v>Approx. vehicle envelope 250 × 170 × 100 mm</x:v>
      </x:c>
      <x:c r="F18" s="22" t="str">
        <x:v>N/A</x:v>
      </x:c>
      <x:c r="G18" s="22" t="str">
        <x:v>Rigid structural base for all mechanical and electronic systems</x:v>
      </x:c>
      <x:c r="H18" s="22" t="str">
        <x:v>Confirmed</x:v>
      </x:c>
      <x:c r="I18" s="26"/>
      <x:c r="J18" s="26" t="str">
        <x:f>IF(OR(D18="",I18=""),"",D18*I18)</x:f>
      </x:c>
      <x:c r="K18" s="28"/>
      <x:c r="L18" s="28" t="str">
        <x:f>IF(OR(D18="",K18=""),"",D18*K18)</x:f>
      </x:c>
      <x:c r="M18" s="22" t="str"/>
      <x:c r="N18" s="22" t="str"/>
      <x:c r="O18" s="22" t="str">
        <x:v>Final complete vehicle must remain within 300 × 200 × 300 mm and ≤1.5 kg</x:v>
      </x:c>
      <x:c r="P18" s="22" t="str">
        <x:v>Add chassis material and CAD file reference when finalized.</x:v>
      </x:c>
    </x:row>
    <x:row r="19">
      <x:c r="A19" s="22" t="str">
        <x:v>Mechanical</x:v>
      </x:c>
      <x:c r="B19" s="22" t="str">
        <x:v>Wheels</x:v>
      </x:c>
      <x:c r="C19" s="22" t="str">
        <x:v>TBC</x:v>
      </x:c>
      <x:c r="D19" s="24" t="n">
        <x:v>4</x:v>
      </x:c>
      <x:c r="E19" s="22" t="str">
        <x:v>Diameter / width / tyre material TBC</x:v>
      </x:c>
      <x:c r="F19" s="22" t="str">
        <x:v>N/A</x:v>
      </x:c>
      <x:c r="G19" s="22" t="str">
        <x:v>Four-wheel vehicle contact and traction</x:v>
      </x:c>
      <x:c r="H19" s="22" t="str">
        <x:v>Confirmed / spec TBC</x:v>
      </x:c>
      <x:c r="I19" s="26"/>
      <x:c r="J19" s="26" t="str">
        <x:f>IF(OR(D19="",I19=""),"",D19*I19)</x:f>
      </x:c>
      <x:c r="K19" s="28"/>
      <x:c r="L19" s="28" t="str">
        <x:f>IF(OR(D19="",K19=""),"",D19*K19)</x:f>
      </x:c>
      <x:c r="M19" s="22" t="str"/>
      <x:c r="N19" s="22" t="str"/>
      <x:c r="O19" s="22" t="str">
        <x:v>WRO 2026 requires a 4-wheeled vehicle; omnidirectional/ball/spherical wheels are prohibited</x:v>
      </x:c>
      <x:c r="P19" s="22" t="str">
        <x:v>Record wheel diameter, width, tread material, and mass.</x:v>
      </x:c>
    </x:row>
    <x:row r="20">
      <x:c r="A20" s="22" t="str">
        <x:v>Mechanical</x:v>
      </x:c>
      <x:c r="B20" s="22" t="str">
        <x:v>Rear driving axle / transmission</x:v>
      </x:c>
      <x:c r="C20" s="22" t="str">
        <x:v>Team-designed / TBC</x:v>
      </x:c>
      <x:c r="D20" s="24" t="n">
        <x:v>1</x:v>
      </x:c>
      <x:c r="E20" s="22" t="str">
        <x:v>One driving axle connected to JGA25-370</x:v>
      </x:c>
      <x:c r="F20" s="22" t="str">
        <x:v>N/A</x:v>
      </x:c>
      <x:c r="G20" s="22" t="str">
        <x:v>Transfers motor torque to rear drive wheels</x:v>
      </x:c>
      <x:c r="H20" s="22" t="str">
        <x:v>Confirmed / details TBC</x:v>
      </x:c>
      <x:c r="I20" s="26"/>
      <x:c r="J20" s="26" t="str">
        <x:f>IF(OR(D20="",I20=""),"",D20*I20)</x:f>
      </x:c>
      <x:c r="K20" s="28"/>
      <x:c r="L20" s="28" t="str">
        <x:f>IF(OR(D20="",K20=""),"",D20*K20)</x:f>
      </x:c>
      <x:c r="M20" s="22" t="str"/>
      <x:c r="N20" s="22" t="str"/>
      <x:c r="O20" s="22" t="str">
        <x:v>WRO 2026 requires one driving axle</x:v>
      </x:c>
      <x:c r="P20" s="22" t="str">
        <x:v>Record gearing, coupling, axle diameter, bearings, and CAD references.</x:v>
      </x:c>
    </x:row>
    <x:row r="21">
      <x:c r="A21" s="22" t="str">
        <x:v>Mechanical</x:v>
      </x:c>
      <x:c r="B21" s="22" t="str">
        <x:v>Ackermann steering linkage</x:v>
      </x:c>
      <x:c r="C21" s="22" t="str">
        <x:v>Team-designed</x:v>
      </x:c>
      <x:c r="D21" s="24" t="n">
        <x:v>1</x:v>
      </x:c>
      <x:c r="E21" s="22" t="str">
        <x:v>Front steering geometry; dimensions TBC</x:v>
      </x:c>
      <x:c r="F21" s="22" t="str">
        <x:v>N/A</x:v>
      </x:c>
      <x:c r="G21" s="22" t="str">
        <x:v>Turns left/right front wheels with correct inner/outer wheel angle relationship</x:v>
      </x:c>
      <x:c r="H21" s="22" t="str">
        <x:v>Confirmed</x:v>
      </x:c>
      <x:c r="I21" s="26"/>
      <x:c r="J21" s="26" t="str">
        <x:f>IF(OR(D21="",I21=""),"",D21*I21)</x:f>
      </x:c>
      <x:c r="K21" s="28"/>
      <x:c r="L21" s="28" t="str">
        <x:f>IF(OR(D21="",K21=""),"",D21*K21)</x:f>
      </x:c>
      <x:c r="M21" s="22" t="str"/>
      <x:c r="N21" s="22" t="str"/>
      <x:c r="O21" s="22" t="str">
        <x:v>One steering actuator required; differential-drive base is prohibited</x:v>
      </x:c>
      <x:c r="P21" s="22" t="str">
        <x:v>Record wheelbase, track width, steering angles, link lengths, and CAD files.</x:v>
      </x:c>
    </x:row>
    <x:row r="22">
      <x:c r="A22" s="22" t="str">
        <x:v>Mechanical</x:v>
      </x:c>
      <x:c r="B22" s="22" t="str">
        <x:v>PixyCam2 mount</x:v>
      </x:c>
      <x:c r="C22" s="22" t="str">
        <x:v>Team-designed / 3D printed</x:v>
      </x:c>
      <x:c r="D22" s="24" t="n">
        <x:v>1</x:v>
      </x:c>
      <x:c r="E22" s="22" t="str">
        <x:v>Front-facing adjustable/rigid mount</x:v>
      </x:c>
      <x:c r="F22" s="22" t="str">
        <x:v>N/A</x:v>
      </x:c>
      <x:c r="G22" s="22" t="str">
        <x:v>Holds camera at tested position and angle</x:v>
      </x:c>
      <x:c r="H22" s="22" t="str">
        <x:v>TBC</x:v>
      </x:c>
      <x:c r="I22" s="26"/>
      <x:c r="J22" s="26" t="str">
        <x:f>IF(OR(D22="",I22=""),"",D22*I22)</x:f>
      </x:c>
      <x:c r="K22" s="28"/>
      <x:c r="L22" s="28" t="str">
        <x:f>IF(OR(D22="",K22=""),"",D22*K22)</x:f>
      </x:c>
      <x:c r="M22" s="22" t="str"/>
      <x:c r="N22" s="22" t="str"/>
      <x:c r="O22" s="22" t="str">
        <x:v>3D-printed/CNC/other fabricated elements are permitted</x:v>
      </x:c>
      <x:c r="P22" s="22" t="str">
        <x:v>Link corresponding STL/STEP/CAD file in repository.</x:v>
      </x:c>
    </x:row>
    <x:row r="23">
      <x:c r="A23" s="22" t="str">
        <x:v>Mechanical</x:v>
      </x:c>
      <x:c r="B23" s="22" t="str">
        <x:v>RPLIDAR C1 mount</x:v>
      </x:c>
      <x:c r="C23" s="22" t="str">
        <x:v>Team-designed / 3D printed</x:v>
      </x:c>
      <x:c r="D23" s="24" t="n">
        <x:v>1</x:v>
      </x:c>
      <x:c r="E23" s="22" t="str">
        <x:v>Rigid mount with clear horizontal scan</x:v>
      </x:c>
      <x:c r="F23" s="22" t="str">
        <x:v>N/A</x:v>
      </x:c>
      <x:c r="G23" s="22" t="str">
        <x:v>Secures LiDAR while minimizing scan obstruction and vibration</x:v>
      </x:c>
      <x:c r="H23" s="22" t="str">
        <x:v>TBC</x:v>
      </x:c>
      <x:c r="I23" s="26"/>
      <x:c r="J23" s="26" t="str">
        <x:f>IF(OR(D23="",I23=""),"",D23*I23)</x:f>
      </x:c>
      <x:c r="K23" s="28"/>
      <x:c r="L23" s="28" t="str">
        <x:f>IF(OR(D23="",K23=""),"",D23*K23)</x:f>
      </x:c>
      <x:c r="M23" s="22" t="str"/>
      <x:c r="N23" s="22" t="str"/>
      <x:c r="O23" s="22" t="str">
        <x:v>3D-printed/CNC/other fabricated elements are permitted</x:v>
      </x:c>
      <x:c r="P23" s="22" t="str">
        <x:v>Link corresponding STL/STEP/CAD file in repository.</x:v>
      </x:c>
    </x:row>
    <x:row r="24">
      <x:c r="A24" s="22" t="str">
        <x:v>Mechanical</x:v>
      </x:c>
      <x:c r="B24" s="22" t="str">
        <x:v>Orange Pi / ESP32 mounts</x:v>
      </x:c>
      <x:c r="C24" s="22" t="str">
        <x:v>Team-designed / TBC</x:v>
      </x:c>
      <x:c r="D24" s="24" t="n">
        <x:v>1</x:v>
      </x:c>
      <x:c r="E24" s="22" t="str">
        <x:v>Secure electronics mounting with airflow</x:v>
      </x:c>
      <x:c r="F24" s="22" t="str">
        <x:v>N/A</x:v>
      </x:c>
      <x:c r="G24" s="22" t="str">
        <x:v>Prevents movement and protects controllers</x:v>
      </x:c>
      <x:c r="H24" s="22" t="str">
        <x:v>TBC</x:v>
      </x:c>
      <x:c r="I24" s="26"/>
      <x:c r="J24" s="26" t="str">
        <x:f>IF(OR(D24="",I24=""),"",D24*I24)</x:f>
      </x:c>
      <x:c r="K24" s="28"/>
      <x:c r="L24" s="28" t="str">
        <x:f>IF(OR(D24="",K24=""),"",D24*K24)</x:f>
      </x:c>
      <x:c r="M24" s="22" t="str"/>
      <x:c r="N24" s="22" t="str"/>
      <x:c r="O24" s="22" t="str">
        <x:v>Fabricated vehicle elements are permitted</x:v>
      </x:c>
      <x:c r="P24" s="22" t="str">
        <x:v>Document material, fasteners, and CAD files.</x:v>
      </x:c>
    </x:row>
    <x:row r="25">
      <x:c r="A25" s="22" t="str">
        <x:v>Electrical</x:v>
      </x:c>
      <x:c r="B25" s="22" t="str">
        <x:v>Wiring, connectors, terminals, cable ties</x:v>
      </x:c>
      <x:c r="C25" s="22" t="str">
        <x:v>TBC</x:v>
      </x:c>
      <x:c r="D25" s="24" t="n">
        <x:v>1</x:v>
      </x:c>
      <x:c r="E25" s="22" t="str">
        <x:v>Assorted wire gauges and locking connectors</x:v>
      </x:c>
      <x:c r="F25" s="22" t="str">
        <x:v>Various</x:v>
      </x:c>
      <x:c r="G25" s="22" t="str">
        <x:v>Power and wired signal interconnection; cable management</x:v>
      </x:c>
      <x:c r="H25" s="22" t="str">
        <x:v>TBC</x:v>
      </x:c>
      <x:c r="I25" s="26"/>
      <x:c r="J25" s="26" t="str">
        <x:f>IF(OR(D25="",I25=""),"",D25*I25)</x:f>
      </x:c>
      <x:c r="K25" s="28"/>
      <x:c r="L25" s="28" t="str">
        <x:f>IF(OR(D25="",K25=""),"",D25*K25)</x:f>
      </x:c>
      <x:c r="M25" s="22" t="str"/>
      <x:c r="N25" s="22" t="str"/>
      <x:c r="O25" s="22" t="str">
        <x:v>Only wired communication between electromechanical components is permitted during rounds</x:v>
      </x:c>
      <x:c r="P25" s="22" t="str">
        <x:v>Record connector families, wire gauge, and critical cable lengths where relevant.</x:v>
      </x:c>
    </x:row>
    <x:row r="26">
      <x:c r="A26" s="22" t="str">
        <x:v>Mechanical</x:v>
      </x:c>
      <x:c r="B26" s="22" t="str">
        <x:v>Fasteners / bearings / spacers</x:v>
      </x:c>
      <x:c r="C26" s="22" t="str">
        <x:v>TBC</x:v>
      </x:c>
      <x:c r="D26" s="24" t="n">
        <x:v>1</x:v>
      </x:c>
      <x:c r="E26" s="22" t="str">
        <x:v>Assorted screws, nuts, washers, bearings, spacers</x:v>
      </x:c>
      <x:c r="F26" s="22" t="str">
        <x:v>N/A</x:v>
      </x:c>
      <x:c r="G26" s="22" t="str">
        <x:v>Mechanical assembly and alignment</x:v>
      </x:c>
      <x:c r="H26" s="22" t="str">
        <x:v>TBC</x:v>
      </x:c>
      <x:c r="I26" s="26"/>
      <x:c r="J26" s="26" t="str">
        <x:f>IF(OR(D26="",I26=""),"",D26*I26)</x:f>
      </x:c>
      <x:c r="K26" s="28"/>
      <x:c r="L26" s="28" t="str">
        <x:f>IF(OR(D26="",K26=""),"",D26*K26)</x:f>
      </x:c>
      <x:c r="M26" s="22" t="str"/>
      <x:c r="N26" s="22" t="str"/>
      <x:c r="O26" s="22" t="str">
        <x:v>Hardware/material type is unrestricted</x:v>
      </x:c>
      <x:c r="P26" s="22" t="str">
        <x:v>List important sizes separately if needed for reproducibility.</x:v>
      </x:c>
    </x:row>
    <x:row r="28">
      <x:c r="A28" s="32" t="str">
        <x:v>TOTAL (complete values as parts are finalized)</x:v>
      </x:c>
      <x:c r="B28" s="32"/>
      <x:c r="C28" s="32"/>
      <x:c r="D28" s="32"/>
      <x:c r="E28" s="32"/>
      <x:c r="F28" s="32"/>
      <x:c r="G28" s="32"/>
      <x:c r="H28" s="32"/>
      <x:c r="I28" s="32" t="str">
        <x:v>Total mass (g)</x:v>
      </x:c>
      <x:c r="J28" s="32" t="n">
        <x:f>SUM(J4:J26)</x:f>
        <x:v>0</x:v>
      </x:c>
      <x:c r="K28" s="32" t="str">
        <x:v>Total cost</x:v>
      </x:c>
      <x:c r="L28" s="32" t="n">
        <x:f>SUM(L4:L26)</x:f>
        <x:v>0</x:v>
      </x:c>
      <x:c r="M28" s="32"/>
      <x:c r="N28" s="32"/>
      <x:c r="O28" s="32"/>
      <x:c r="P28" s="32"/>
    </x:row>
    <x:row r="30">
      <x:c r="A30" s="39" t="str">
        <x:v>WRO note: The 2026 Future Engineers rules do not prescribe an exact Bill of Materials column format. This BOM is designed to support reproducibility and rule checking. Replace all TBC fields with the exact installed part, measured mass, cost, datasheet, and supplier information before final submission.</x:v>
      </x:c>
      <x:c r="B30" s="39"/>
      <x:c r="C30" s="39"/>
      <x:c r="D30" s="39"/>
      <x:c r="E30" s="39"/>
      <x:c r="F30" s="39"/>
      <x:c r="G30" s="39"/>
      <x:c r="H30" s="39"/>
      <x:c r="I30" s="39"/>
      <x:c r="J30" s="39"/>
      <x:c r="K30" s="39"/>
      <x:c r="L30" s="39"/>
      <x:c r="M30" s="39"/>
      <x:c r="N30" s="39"/>
      <x:c r="O30" s="39"/>
      <x:c r="P30" s="39"/>
    </x:row>
    <x:row r="31">
      <x:c r="A31" s="39"/>
      <x:c r="B31" s="39"/>
      <x:c r="C31" s="39"/>
      <x:c r="D31" s="39"/>
      <x:c r="E31" s="39"/>
      <x:c r="F31" s="39"/>
      <x:c r="G31" s="39"/>
      <x:c r="H31" s="39"/>
      <x:c r="I31" s="39"/>
      <x:c r="J31" s="39"/>
      <x:c r="K31" s="39"/>
      <x:c r="L31" s="39"/>
      <x:c r="M31" s="39"/>
      <x:c r="N31" s="39"/>
      <x:c r="O31" s="39"/>
      <x:c r="P31" s="39"/>
    </x:row>
    <x:row r="32">
      <x:c r="A32" s="39"/>
      <x:c r="B32" s="39"/>
      <x:c r="C32" s="39"/>
      <x:c r="D32" s="39"/>
      <x:c r="E32" s="39"/>
      <x:c r="F32" s="39"/>
      <x:c r="G32" s="39"/>
      <x:c r="H32" s="39"/>
      <x:c r="I32" s="39"/>
      <x:c r="J32" s="39"/>
      <x:c r="K32" s="39"/>
      <x:c r="L32" s="39"/>
      <x:c r="M32" s="39"/>
      <x:c r="N32" s="39"/>
      <x:c r="O32" s="39"/>
      <x:c r="P32" s="39"/>
    </x:row>
  </x:sheetData>
  <x:mergeCells>
    <x:mergeCell ref="A1:P1"/>
    <x:mergeCell ref="A28:H28"/>
    <x:mergeCell ref="A30:P32"/>
  </x:mergeCells>
  <x:conditionalFormatting sqref="H4:H26">
    <x:cfRule type="expression" dxfId="0" priority="1">
      <x:formula>ISNUMBER(SEARCH("TBC",H4))</x:formula>
    </x:cfRule>
    <x:cfRule type="expression" dxfId="1" priority="2">
      <x:formula>H4="Confirmed"</x:formula>
    </x:cfRule>
  </x:conditionalFormatting>
  <x:dataValidations count="1">
    <x:dataValidation type="list" sqref="H4:H26">
      <x:formula1>"Confirmed,Confirmed / model TBC,Confirmed / spec TBC,Confirmed / exact model TBC,Confirmed / details TBC,Optional / TBC,TBC,Not used,Spare"</x:formula1>
    </x:dataValidation>
  </x:dataValidations>
  <x:pageMargins left="0.7" right="0.7" top="0.75" bottom="0.75" header="0.3" footer="0.3"/>
  <x:tableParts count="1">
    <x:tablePart xmlns:r="http://schemas.openxmlformats.org/officeDocument/2006/relationships" r:id="Rf94c31146cb540bd"/>
  </x:tableParts>
</x:worksheet>
</file>

<file path=xl/worksheets/sheet2.xml><?xml version="1.0" encoding="utf-8"?>
<x:worksheet xmlns:x="http://schemas.openxmlformats.org/spreadsheetml/2006/main">
  <x:sheetFormatPr defaultRowHeight="15"/>
  <x:cols>
    <x:col min="1" max="1" width="20" hidden="0" customWidth="1"/>
    <x:col min="2" max="2" width="45" hidden="0" customWidth="1"/>
    <x:col min="3" max="3" width="38" hidden="0" customWidth="1"/>
    <x:col min="4" max="4" width="22" hidden="0" customWidth="1"/>
    <x:col min="5" max="5" width="32" hidden="0" customWidth="1"/>
    <x:col min="6" max="6" width="18" hidden="0" customWidth="1"/>
    <x:col min="7" max="7" width="42" hidden="0" customWidth="1"/>
  </x:cols>
  <x:sheetData>
    <x:row r="1">
      <x:c r="A1" s="5" t="str">
        <x:v>MOM — WRO 2026 Vehicle &amp; Materials Compliance Check</x:v>
      </x:c>
      <x:c r="B1" s="5"/>
      <x:c r="C1" s="5"/>
      <x:c r="D1" s="5"/>
      <x:c r="E1" s="5"/>
      <x:c r="F1" s="5"/>
      <x:c r="G1" s="5"/>
    </x:row>
    <x:row r="3">
      <x:c r="A3" s="14" t="str">
        <x:v>Rule Area</x:v>
      </x:c>
      <x:c r="B3" s="14" t="str">
        <x:v>WRO 2026 Requirement</x:v>
      </x:c>
      <x:c r="C3" s="14" t="str">
        <x:v>MOM Current Design</x:v>
      </x:c>
      <x:c r="D3" s="14" t="str">
        <x:v>Status</x:v>
      </x:c>
      <x:c r="E3" s="14" t="str">
        <x:v>Evidence / File</x:v>
      </x:c>
      <x:c r="F3" s="14" t="str">
        <x:v>Rule Reference</x:v>
      </x:c>
      <x:c r="G3" s="14" t="str">
        <x:v>Action Before Final</x:v>
      </x:c>
    </x:row>
    <x:row r="4">
      <x:c r="A4" s="22" t="str">
        <x:v>Vehicle dimensions</x:v>
      </x:c>
      <x:c r="B4" s="22" t="str">
        <x:v>Maximum 300 × 200 mm footprint and 300 mm height</x:v>
      </x:c>
      <x:c r="C4" s="22" t="str">
        <x:v>250 × 170 × 100 mm</x:v>
      </x:c>
      <x:c r="D4" s="22" t="str">
        <x:v>Compliant (design)</x:v>
      </x:c>
      <x:c r="E4" s="22" t="str">
        <x:v>Final measurement photo / engineering journal</x:v>
      </x:c>
      <x:c r="F4" s="22" t="str">
        <x:v>Rule 11.1</x:v>
      </x:c>
      <x:c r="G4" s="22" t="str">
        <x:v>Measure final assembled vehicle before competition.</x:v>
      </x:c>
    </x:row>
    <x:row r="5">
      <x:c r="A5" s="22" t="str">
        <x:v>Vehicle mass</x:v>
      </x:c>
      <x:c r="B5" s="22" t="str">
        <x:v>Maximum 1.5 kg</x:v>
      </x:c>
      <x:c r="C5" s="22" t="str">
        <x:v>TBC</x:v>
      </x:c>
      <x:c r="D5" s="22" t="str">
        <x:v>To verify</x:v>
      </x:c>
      <x:c r="E5" s="22" t="str">
        <x:v>BOM total mass + scale photo</x:v>
      </x:c>
      <x:c r="F5" s="22" t="str">
        <x:v>Rule 11.2</x:v>
      </x:c>
      <x:c r="G5" s="22" t="str">
        <x:v>Weigh complete competition vehicle including batteries.</x:v>
      </x:c>
    </x:row>
    <x:row r="6">
      <x:c r="A6" s="22" t="str">
        <x:v>Wheel configuration</x:v>
      </x:c>
      <x:c r="B6" s="22" t="str">
        <x:v>Vehicle must have 4 wheels</x:v>
      </x:c>
      <x:c r="C6" s="22" t="str">
        <x:v>4 wheels planned</x:v>
      </x:c>
      <x:c r="D6" s="22" t="str">
        <x:v>To verify</x:v>
      </x:c>
      <x:c r="E6" s="22" t="str">
        <x:v>Vehicle photos / CAD</x:v>
      </x:c>
      <x:c r="F6" s="22" t="str">
        <x:v>Rule 11.3</x:v>
      </x:c>
      <x:c r="G6" s="22" t="str">
        <x:v>Confirm final vehicle has exactly four permitted wheels.</x:v>
      </x:c>
    </x:row>
    <x:row r="7">
      <x:c r="A7" s="22" t="str">
        <x:v>Driving axle</x:v>
      </x:c>
      <x:c r="B7" s="22" t="str">
        <x:v>One driving axle</x:v>
      </x:c>
      <x:c r="C7" s="22" t="str">
        <x:v>Rear driving axle</x:v>
      </x:c>
      <x:c r="D7" s="22" t="str">
        <x:v>Compliant (design)</x:v>
      </x:c>
      <x:c r="E7" s="22" t="str">
        <x:v>CAD / drivetrain photo</x:v>
      </x:c>
      <x:c r="F7" s="22" t="str">
        <x:v>Rule 11.3</x:v>
      </x:c>
      <x:c r="G7" s="22" t="str">
        <x:v>Document axle and drive connection.</x:v>
      </x:c>
    </x:row>
    <x:row r="8">
      <x:c r="A8" s="22" t="str">
        <x:v>Steering actuator</x:v>
      </x:c>
      <x:c r="B8" s="22" t="str">
        <x:v>One steering actuator of any type</x:v>
      </x:c>
      <x:c r="C8" s="22" t="str">
        <x:v>1 × MG996-series servo with Ackermann steering</x:v>
      </x:c>
      <x:c r="D8" s="22" t="str">
        <x:v>Compliant (design)</x:v>
      </x:c>
      <x:c r="E8" s="22" t="str">
        <x:v>CAD / steering photo</x:v>
      </x:c>
      <x:c r="F8" s="22" t="str">
        <x:v>Rule 11.3</x:v>
      </x:c>
      <x:c r="G8" s="22" t="str">
        <x:v>Record exact servo model and steering geometry.</x:v>
      </x:c>
    </x:row>
    <x:row r="9">
      <x:c r="A9" s="22" t="str">
        <x:v>Differential drive</x:v>
      </x:c>
      <x:c r="B9" s="22" t="str">
        <x:v>Differential wheeled base is prohibited</x:v>
      </x:c>
      <x:c r="C9" s="22" t="str">
        <x:v>Rear-wheel drive with Ackermann steering</x:v>
      </x:c>
      <x:c r="D9" s="22" t="str">
        <x:v>Compliant (design)</x:v>
      </x:c>
      <x:c r="E9" s="22" t="str">
        <x:v>CAD / vehicle overview</x:v>
      </x:c>
      <x:c r="F9" s="22" t="str">
        <x:v>Rules 11.3, 11.5</x:v>
      </x:c>
      <x:c r="G9" s="22" t="str">
        <x:v>Keep drive/steering architecture as documented.</x:v>
      </x:c>
    </x:row>
    <x:row r="10">
      <x:c r="A10" s="22" t="str">
        <x:v>Driving motors</x:v>
      </x:c>
      <x:c r="B10" s="22" t="str">
        <x:v>Maximum 2 driving motors; if two, they may not independently drive opposite sides</x:v>
      </x:c>
      <x:c r="C10" s="22" t="str">
        <x:v>1 × JGA25-370</x:v>
      </x:c>
      <x:c r="D10" s="22" t="str">
        <x:v>Compliant</x:v>
      </x:c>
      <x:c r="E10" s="22" t="str">
        <x:v>BOM / drivetrain photo</x:v>
      </x:c>
      <x:c r="F10" s="22" t="str">
        <x:v>Rule 11.13</x:v>
      </x:c>
      <x:c r="G10" s="22" t="str">
        <x:v>Record exact motor voltage and gear ratio.</x:v>
      </x:c>
    </x:row>
    <x:row r="11">
      <x:c r="A11" s="22" t="str">
        <x:v>Sensors / camera</x:v>
      </x:c>
      <x:c r="B11" s="22" t="str">
        <x:v>Any sensors permitted; cameras count as sensors</x:v>
      </x:c>
      <x:c r="C11" s="22" t="str">
        <x:v>PixyCam2 + RPLIDAR C1; MPU6050 optional</x:v>
      </x:c>
      <x:c r="D11" s="22" t="str">
        <x:v>Compliant</x:v>
      </x:c>
      <x:c r="E11" s="22" t="str">
        <x:v>BOM / wiring diagram</x:v>
      </x:c>
      <x:c r="F11" s="22" t="str">
        <x:v>Rule 11.11</x:v>
      </x:c>
      <x:c r="G11" s="22" t="str">
        <x:v>Document placement and calibration.</x:v>
      </x:c>
    </x:row>
    <x:row r="12">
      <x:c r="A12" s="22" t="str">
        <x:v>Controllers</x:v>
      </x:c>
      <x:c r="B12" s="22" t="str">
        <x:v>SBC or microcontroller allowed; more than one may be used</x:v>
      </x:c>
      <x:c r="C12" s="22" t="str">
        <x:v>Orange Pi 5 + ESP32</x:v>
      </x:c>
      <x:c r="D12" s="22" t="str">
        <x:v>Compliant</x:v>
      </x:c>
      <x:c r="E12" s="22" t="str">
        <x:v>System block diagram</x:v>
      </x:c>
      <x:c r="F12" s="22" t="str">
        <x:v>Rules 11.8–11.9</x:v>
      </x:c>
      <x:c r="G12" s="22" t="str">
        <x:v>Document exact software/firmware versions.</x:v>
      </x:c>
    </x:row>
    <x:row r="13">
      <x:c r="A13" s="22" t="str">
        <x:v>Wireless</x:v>
      </x:c>
      <x:c r="B13" s="22" t="str">
        <x:v>RF, Bluetooth, Wi-Fi or other wireless communication may not be used during rounds; built-in wireless must be off</x:v>
      </x:c>
      <x:c r="C13" s="22" t="str">
        <x:v>Orange Pi 5 and ESP32 have wireless capability</x:v>
      </x:c>
      <x:c r="D13" s="22" t="str">
        <x:v>Action required</x:v>
      </x:c>
      <x:c r="E13" s="22" t="str">
        <x:v>Software settings / pre-run checklist</x:v>
      </x:c>
      <x:c r="F13" s="22" t="str">
        <x:v>Rule 11.10</x:v>
      </x:c>
      <x:c r="G13" s="22" t="str">
        <x:v>Disable Wi-Fi/Bluetooth/RF during competition rounds and document method.</x:v>
      </x:c>
    </x:row>
    <x:row r="14">
      <x:c r="A14" s="22" t="str">
        <x:v>Internal communication</x:v>
      </x:c>
      <x:c r="B14" s="22" t="str">
        <x:v>Only wired connections are permitted between vehicle electromechanical components</x:v>
      </x:c>
      <x:c r="C14" s="22" t="str">
        <x:v>Orange Pi ↔ ESP32 planned via wired serial/UART; sensors wired</x:v>
      </x:c>
      <x:c r="D14" s="22" t="str">
        <x:v>Compliant if implemented</x:v>
      </x:c>
      <x:c r="E14" s="22" t="str">
        <x:v>Wiring diagram</x:v>
      </x:c>
      <x:c r="F14" s="22" t="str">
        <x:v>Rule 11.17</x:v>
      </x:c>
      <x:c r="G14" s="22" t="str">
        <x:v>Document physical interfaces and baud rate/protocol.</x:v>
      </x:c>
    </x:row>
    <x:row r="15">
      <x:c r="A15" s="22" t="str">
        <x:v>Batteries</x:v>
      </x:c>
      <x:c r="B15" s="22" t="str">
        <x:v>Any battery brand/function/number allowed</x:v>
      </x:c>
      <x:c r="C15" s="22" t="str">
        <x:v>Dual-battery system</x:v>
      </x:c>
      <x:c r="D15" s="22" t="str">
        <x:v>Compliant</x:v>
      </x:c>
      <x:c r="E15" s="22" t="str">
        <x:v>Power-distribution diagram / BOM</x:v>
      </x:c>
      <x:c r="F15" s="22" t="str">
        <x:v>Rule 11.16</x:v>
      </x:c>
      <x:c r="G15" s="22" t="str">
        <x:v>Record chemistry, voltage, capacity, mass, protection, and regulator ratings.</x:v>
      </x:c>
    </x:row>
    <x:row r="16">
      <x:c r="A16" s="22" t="str">
        <x:v>Fabricated parts</x:v>
      </x:c>
      <x:c r="B16" s="22" t="str">
        <x:v>3D printed, CNC, acrylic, wood, metal and other materials allowed</x:v>
      </x:c>
      <x:c r="C16" s="22" t="str">
        <x:v>Team-designed chassis/mounts/steering components</x:v>
      </x:c>
      <x:c r="D16" s="22" t="str">
        <x:v>Compliant</x:v>
      </x:c>
      <x:c r="E16" s="22" t="str">
        <x:v>CAD / STL / STEP files</x:v>
      </x:c>
      <x:c r="F16" s="22" t="str">
        <x:v>Rules 11.18–11.19</x:v>
      </x:c>
      <x:c r="G16" s="22" t="str">
        <x:v>Upload final CAD and manufacturing files.</x:v>
      </x:c>
    </x:row>
    <x:row r="17">
      <x:c r="A17" s="22" t="str">
        <x:v>Spare parts</x:v>
      </x:c>
      <x:c r="B17" s="22" t="str">
        <x:v>Teams should bring sufficient spare parts; only one competition vehicle is allowed</x:v>
      </x:c>
      <x:c r="C17" s="22" t="str">
        <x:v>Spare components may be carried; no spare complete vehicle</x:v>
      </x:c>
      <x:c r="D17" s="22" t="str">
        <x:v>Plan required</x:v>
      </x:c>
      <x:c r="E17" s="22" t="str">
        <x:v>Spare-parts checklist</x:v>
      </x:c>
      <x:c r="F17" s="22" t="str">
        <x:v>Rules 11.21, 11.26</x:v>
      </x:c>
      <x:c r="G17" s="22" t="str">
        <x:v>Prepare spare components without assembling a second vehicle.</x:v>
      </x:c>
    </x:row>
    <x:row r="19">
      <x:c r="A19" s="39" t="str">
        <x:v>Official rules source: https://wro-association.org/wp-content/uploads/WRO-2026-Future-Engineers-Self-Driving-Cars-General-Rules.pdf
National/regional competition procedures can differ, so also follow the rules issued by WRO Indonesia.</x:v>
      </x:c>
      <x:c r="B19" s="39"/>
      <x:c r="C19" s="39"/>
      <x:c r="D19" s="39"/>
      <x:c r="E19" s="39"/>
      <x:c r="F19" s="39"/>
      <x:c r="G19" s="39"/>
    </x:row>
    <x:row r="20">
      <x:c r="A20" s="39"/>
      <x:c r="B20" s="39"/>
      <x:c r="C20" s="39"/>
      <x:c r="D20" s="39"/>
      <x:c r="E20" s="39"/>
      <x:c r="F20" s="39"/>
      <x:c r="G20" s="39"/>
    </x:row>
    <x:row r="21">
      <x:c r="A21" s="39"/>
      <x:c r="B21" s="39"/>
      <x:c r="C21" s="39"/>
      <x:c r="D21" s="39"/>
      <x:c r="E21" s="39"/>
      <x:c r="F21" s="39"/>
      <x:c r="G21" s="39"/>
    </x:row>
  </x:sheetData>
  <x:mergeCells>
    <x:mergeCell ref="A1:G1"/>
    <x:mergeCell ref="A19:G21"/>
  </x:mergeCells>
  <x:conditionalFormatting sqref="D4:D17">
    <x:cfRule type="expression" dxfId="2" priority="1">
      <x:formula>ISNUMBER(SEARCH("Compliant",D4))</x:formula>
    </x:cfRule>
    <x:cfRule type="expression" dxfId="3" priority="2">
      <x:formula>OR(ISNUMBER(SEARCH("verify",D4)),ISNUMBER(SEARCH("required",D4)))</x:formula>
    </x:cfRule>
  </x:conditionalFormatting>
  <x:pageMargins left="0.7" right="0.7" top="0.75" bottom="0.75" header="0.3" footer="0.3"/>
  <x:tableParts count="1">
    <x:tablePart xmlns:r="http://schemas.openxmlformats.org/officeDocument/2006/relationships" r:id="R8587db221ae348a6"/>
  </x:tableParts>
</x:worksheet>
</file>